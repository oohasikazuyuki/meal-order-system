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Kamakura\事務共有\30.厨房関係\28.各ブロック発注書追加分\八百喜\八百喜_発注書2025年5月～\"/>
    </mc:Choice>
  </mc:AlternateContent>
  <xr:revisionPtr revIDLastSave="0" documentId="13_ncr:1_{63D048F1-9E6A-47AD-9212-C3C50B4A8854}" xr6:coauthVersionLast="47" xr6:coauthVersionMax="47" xr10:uidLastSave="{00000000-0000-0000-0000-000000000000}"/>
  <bookViews>
    <workbookView xWindow="-120" yWindow="-120" windowWidth="29040" windowHeight="15720" xr2:uid="{1B2F5FA3-A78A-44C0-B74B-EF19CD8ADBD8}"/>
  </bookViews>
  <sheets>
    <sheet name="noname" sheetId="1" r:id="rId1"/>
  </sheets>
  <definedNames>
    <definedName name="_xlnm.Print_Area" localSheetId="0">noname!$A$1:$P$22</definedName>
    <definedName name="_xlnm.Print_Titles" localSheetId="0">noname!$1:$8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N9" i="1"/>
  <c r="K9" i="1"/>
  <c r="E9" i="1"/>
  <c r="H9" i="1"/>
  <c r="B9" i="1"/>
</calcChain>
</file>

<file path=xl/sharedStrings.xml><?xml version="1.0" encoding="utf-8"?>
<sst xmlns="http://schemas.openxmlformats.org/spreadsheetml/2006/main" count="111" uniqueCount="59">
  <si>
    <t>単位</t>
    <rPh sb="0" eb="2">
      <t>タンイ</t>
    </rPh>
    <phoneticPr fontId="2"/>
  </si>
  <si>
    <t>数量</t>
    <rPh sb="0" eb="2">
      <t>スウリョウ</t>
    </rPh>
    <phoneticPr fontId="2"/>
  </si>
  <si>
    <t>品 名</t>
    <rPh sb="0" eb="1">
      <t>シナ</t>
    </rPh>
    <rPh sb="2" eb="3">
      <t>メイ</t>
    </rPh>
    <phoneticPr fontId="2"/>
  </si>
  <si>
    <t>(火)</t>
    <rPh sb="1" eb="2">
      <t>カ</t>
    </rPh>
    <phoneticPr fontId="2"/>
  </si>
  <si>
    <t>(月)</t>
    <rPh sb="1" eb="2">
      <t>ゲツ</t>
    </rPh>
    <phoneticPr fontId="2"/>
  </si>
  <si>
    <t>(金)</t>
    <rPh sb="1" eb="2">
      <t>キン</t>
    </rPh>
    <phoneticPr fontId="2"/>
  </si>
  <si>
    <t>納品日</t>
    <rPh sb="0" eb="3">
      <t>ノウヒンビ</t>
    </rPh>
    <phoneticPr fontId="2"/>
  </si>
  <si>
    <t>FAX：0467(22)1766</t>
    <phoneticPr fontId="2"/>
  </si>
  <si>
    <t>下記のとおり発注申し上げます。</t>
    <phoneticPr fontId="2"/>
  </si>
  <si>
    <t>TEL：0467(22)0424</t>
    <phoneticPr fontId="2"/>
  </si>
  <si>
    <t>鎌 倉 児 童 ホ ー ム</t>
    <phoneticPr fontId="2"/>
  </si>
  <si>
    <t>御中</t>
    <phoneticPr fontId="2"/>
  </si>
  <si>
    <t>八百喜</t>
    <rPh sb="0" eb="3">
      <t>ヤオキ</t>
    </rPh>
    <phoneticPr fontId="2"/>
  </si>
  <si>
    <t>神奈川県鎌倉市佐助1-6-6</t>
    <phoneticPr fontId="2"/>
  </si>
  <si>
    <t>( FAX：0467-25-1937 )</t>
    <phoneticPr fontId="2"/>
  </si>
  <si>
    <t>〒248-0017</t>
    <phoneticPr fontId="2"/>
  </si>
  <si>
    <t>( TEL：0467-25-1937 )</t>
    <phoneticPr fontId="2"/>
  </si>
  <si>
    <t>発 注 日：</t>
    <rPh sb="0" eb="1">
      <t>ハッ</t>
    </rPh>
    <rPh sb="2" eb="3">
      <t>チュウ</t>
    </rPh>
    <rPh sb="4" eb="5">
      <t>ビ</t>
    </rPh>
    <phoneticPr fontId="2"/>
  </si>
  <si>
    <t>(木）</t>
    <rPh sb="1" eb="2">
      <t>モク</t>
    </rPh>
    <phoneticPr fontId="2"/>
  </si>
  <si>
    <t>(土)</t>
    <rPh sb="1" eb="2">
      <t>ド</t>
    </rPh>
    <phoneticPr fontId="2"/>
  </si>
  <si>
    <t>【 発 注 書 : ナザレシオン 】</t>
    <phoneticPr fontId="2"/>
  </si>
  <si>
    <t>きゅうり</t>
    <phoneticPr fontId="2"/>
  </si>
  <si>
    <t>本</t>
    <rPh sb="0" eb="1">
      <t>ホン</t>
    </rPh>
    <phoneticPr fontId="2"/>
  </si>
  <si>
    <t>長ねぎ</t>
    <rPh sb="0" eb="1">
      <t>ナガ</t>
    </rPh>
    <phoneticPr fontId="2"/>
  </si>
  <si>
    <t>個</t>
    <rPh sb="0" eb="1">
      <t>コ</t>
    </rPh>
    <phoneticPr fontId="2"/>
  </si>
  <si>
    <t>束</t>
    <rPh sb="0" eb="1">
      <t>タバ</t>
    </rPh>
    <phoneticPr fontId="2"/>
  </si>
  <si>
    <t>絹ごし豆腐</t>
    <rPh sb="0" eb="1">
      <t>キヌ</t>
    </rPh>
    <rPh sb="3" eb="5">
      <t>トウフ</t>
    </rPh>
    <phoneticPr fontId="2"/>
  </si>
  <si>
    <t>丁</t>
    <rPh sb="0" eb="1">
      <t>チョウ</t>
    </rPh>
    <phoneticPr fontId="2"/>
  </si>
  <si>
    <t>油揚げ</t>
    <rPh sb="0" eb="2">
      <t>アブラア</t>
    </rPh>
    <phoneticPr fontId="2"/>
  </si>
  <si>
    <t>サニーレタス</t>
    <phoneticPr fontId="2"/>
  </si>
  <si>
    <t>ミニトマト</t>
    <phoneticPr fontId="2"/>
  </si>
  <si>
    <t>レタス</t>
    <phoneticPr fontId="2"/>
  </si>
  <si>
    <t>ほうれん草</t>
    <rPh sb="4" eb="5">
      <t>ソウ</t>
    </rPh>
    <phoneticPr fontId="2"/>
  </si>
  <si>
    <t>トマト</t>
    <phoneticPr fontId="2"/>
  </si>
  <si>
    <t>ｐ</t>
    <phoneticPr fontId="2"/>
  </si>
  <si>
    <t>まいたけ</t>
    <phoneticPr fontId="2"/>
  </si>
  <si>
    <t>青ねぎ</t>
    <rPh sb="0" eb="1">
      <t>アオ</t>
    </rPh>
    <phoneticPr fontId="2"/>
  </si>
  <si>
    <t>ブロッコリー</t>
    <phoneticPr fontId="2"/>
  </si>
  <si>
    <t>いんげん</t>
    <phoneticPr fontId="2"/>
  </si>
  <si>
    <t>ｇ</t>
    <phoneticPr fontId="2"/>
  </si>
  <si>
    <t>玉子とうふ</t>
    <rPh sb="0" eb="2">
      <t>タマゴ</t>
    </rPh>
    <phoneticPr fontId="2"/>
  </si>
  <si>
    <t>p</t>
    <phoneticPr fontId="2"/>
  </si>
  <si>
    <t>えのきだけ</t>
    <phoneticPr fontId="2"/>
  </si>
  <si>
    <t>バナナ</t>
    <phoneticPr fontId="2"/>
  </si>
  <si>
    <t>温泉卵</t>
    <rPh sb="0" eb="3">
      <t>オンセンタマゴ</t>
    </rPh>
    <phoneticPr fontId="2"/>
  </si>
  <si>
    <t>ピーマン</t>
    <phoneticPr fontId="2"/>
  </si>
  <si>
    <t>オレンジ</t>
    <phoneticPr fontId="2"/>
  </si>
  <si>
    <t>小松菜</t>
    <rPh sb="0" eb="3">
      <t>コマツナ</t>
    </rPh>
    <phoneticPr fontId="2"/>
  </si>
  <si>
    <t>しめじ</t>
    <phoneticPr fontId="2"/>
  </si>
  <si>
    <t>りんご</t>
    <phoneticPr fontId="2"/>
  </si>
  <si>
    <t>れんこん</t>
    <phoneticPr fontId="2"/>
  </si>
  <si>
    <t>節</t>
    <rPh sb="0" eb="1">
      <t>フシ</t>
    </rPh>
    <phoneticPr fontId="2"/>
  </si>
  <si>
    <t>ごぼう</t>
    <phoneticPr fontId="2"/>
  </si>
  <si>
    <t>たけのこ水煮</t>
    <rPh sb="4" eb="6">
      <t>ミズニ</t>
    </rPh>
    <phoneticPr fontId="2"/>
  </si>
  <si>
    <t>里芋</t>
    <rPh sb="0" eb="2">
      <t>サトイモ</t>
    </rPh>
    <phoneticPr fontId="2"/>
  </si>
  <si>
    <t>こんにゃく</t>
    <phoneticPr fontId="2"/>
  </si>
  <si>
    <t>枚</t>
    <rPh sb="0" eb="1">
      <t>マイ</t>
    </rPh>
    <phoneticPr fontId="2"/>
  </si>
  <si>
    <t>絹さや</t>
    <rPh sb="0" eb="1">
      <t>キヌ</t>
    </rPh>
    <phoneticPr fontId="2"/>
  </si>
  <si>
    <t>大根</t>
    <rPh sb="0" eb="2">
      <t>ダイコン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</si>
</sst>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\ \(aaa\)"/>
  </numFmts>
  <fonts count="19" x14ac:knownFonts="1">
    <font>
      <sz val="10"/>
      <name val="ＭＳ 明朝"/>
      <family val="1"/>
      <charset val="128"/>
    </font>
    <font>
      <sz val="11"/>
      <name val="ＭＳ ゴシック"/>
      <family val="3"/>
      <charset val="128"/>
    </font>
    <font>
      <sz val="6"/>
      <name val="ＭＳ 明朝"/>
      <family val="1"/>
      <charset val="128"/>
    </font>
    <font>
      <sz val="20"/>
      <name val="ＭＳ ゴシック"/>
      <family val="3"/>
      <charset val="128"/>
    </font>
    <font>
      <sz val="12"/>
      <name val="ＭＳ ゴシック"/>
      <family val="3"/>
      <charset val="128"/>
    </font>
    <font>
      <b/>
      <sz val="9"/>
      <name val="ＭＳ ゴシック"/>
      <family val="3"/>
      <charset val="128"/>
    </font>
    <font>
      <b/>
      <sz val="13"/>
      <name val="ＭＳ ゴシック"/>
      <family val="3"/>
      <charset val="128"/>
    </font>
    <font>
      <b/>
      <sz val="15"/>
      <name val="ＭＳ ゴシック"/>
      <family val="3"/>
      <charset val="128"/>
    </font>
    <font>
      <b/>
      <sz val="11"/>
      <name val="ＭＳ ゴシック"/>
      <family val="3"/>
      <charset val="128"/>
    </font>
    <font>
      <b/>
      <sz val="13"/>
      <color rgb="FF7030A0"/>
      <name val="ＭＳ ゴシック"/>
      <family val="3"/>
      <charset val="128"/>
    </font>
    <font>
      <b/>
      <sz val="13"/>
      <color indexed="10"/>
      <name val="ＭＳ ゴシック"/>
      <family val="3"/>
      <charset val="128"/>
    </font>
    <font>
      <b/>
      <sz val="12"/>
      <name val="ＭＳ ゴシック"/>
      <family val="3"/>
      <charset val="128"/>
    </font>
    <font>
      <b/>
      <sz val="11"/>
      <color rgb="FF7030A0"/>
      <name val="ＭＳ ゴシック"/>
      <family val="3"/>
      <charset val="128"/>
    </font>
    <font>
      <b/>
      <sz val="10"/>
      <color rgb="FF7030A0"/>
      <name val="ＭＳ ゴシック"/>
      <family val="3"/>
      <charset val="128"/>
    </font>
    <font>
      <b/>
      <sz val="20"/>
      <name val="ＭＳ ゴシック"/>
      <family val="3"/>
      <charset val="128"/>
    </font>
    <font>
      <b/>
      <sz val="18"/>
      <color rgb="FF0070C0"/>
      <name val="ＭＳ ゴシック"/>
      <family val="3"/>
      <charset val="128"/>
    </font>
    <font>
      <b/>
      <sz val="20"/>
      <color rgb="FF0070C0"/>
      <name val="ＭＳ ゴシック"/>
      <family val="3"/>
      <charset val="128"/>
    </font>
    <font>
      <b/>
      <sz val="22"/>
      <name val="ＭＳ ゴシック"/>
      <family val="3"/>
      <charset val="128"/>
    </font>
    <font>
      <b/>
      <sz val="25"/>
      <name val="ＭＳ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 shrinkToFit="1"/>
    </xf>
    <xf numFmtId="0" fontId="4" fillId="2" borderId="0" xfId="0" applyFont="1" applyFill="1" applyAlignment="1">
      <alignment horizontal="left" vertical="center" shrinkToFit="1"/>
    </xf>
    <xf numFmtId="0" fontId="5" fillId="3" borderId="0" xfId="0" applyFont="1" applyFill="1" applyAlignment="1">
      <alignment horizontal="center" vertical="center" shrinkToFit="1"/>
    </xf>
    <xf numFmtId="0" fontId="6" fillId="3" borderId="0" xfId="0" applyFont="1" applyFill="1" applyAlignment="1">
      <alignment vertical="center" shrinkToFit="1"/>
    </xf>
    <xf numFmtId="176" fontId="7" fillId="3" borderId="0" xfId="0" applyNumberFormat="1" applyFont="1" applyFill="1" applyAlignment="1">
      <alignment vertical="center" shrinkToFit="1"/>
    </xf>
    <xf numFmtId="0" fontId="4" fillId="0" borderId="2" xfId="0" applyFont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5" xfId="0" applyFont="1" applyFill="1" applyBorder="1" applyAlignment="1">
      <alignment horizontal="center" vertical="center" shrinkToFit="1"/>
    </xf>
    <xf numFmtId="0" fontId="8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2" borderId="9" xfId="0" applyFont="1" applyFill="1" applyBorder="1" applyAlignment="1">
      <alignment horizontal="center" vertical="center" shrinkToFit="1"/>
    </xf>
    <xf numFmtId="0" fontId="4" fillId="2" borderId="10" xfId="0" applyFont="1" applyFill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13" xfId="0" applyFont="1" applyBorder="1" applyAlignment="1">
      <alignment horizontal="center" vertical="center" shrinkToFit="1"/>
    </xf>
    <xf numFmtId="0" fontId="4" fillId="2" borderId="14" xfId="0" applyFont="1" applyFill="1" applyBorder="1" applyAlignment="1">
      <alignment horizontal="center" vertical="center" shrinkToFit="1"/>
    </xf>
    <xf numFmtId="0" fontId="6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5" fillId="3" borderId="2" xfId="0" applyFont="1" applyFill="1" applyBorder="1" applyAlignment="1">
      <alignment horizontal="center" vertical="center" shrinkToFit="1"/>
    </xf>
    <xf numFmtId="0" fontId="5" fillId="3" borderId="3" xfId="0" applyFont="1" applyFill="1" applyBorder="1" applyAlignment="1">
      <alignment horizontal="center" vertical="center" shrinkToFit="1"/>
    </xf>
    <xf numFmtId="0" fontId="11" fillId="3" borderId="5" xfId="0" applyFont="1" applyFill="1" applyBorder="1" applyAlignment="1">
      <alignment horizontal="center" vertical="center" shrinkToFit="1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176" fontId="7" fillId="3" borderId="16" xfId="0" applyNumberFormat="1" applyFont="1" applyFill="1" applyBorder="1" applyAlignment="1">
      <alignment vertical="center" shrinkToFit="1"/>
    </xf>
    <xf numFmtId="0" fontId="13" fillId="3" borderId="18" xfId="0" applyFont="1" applyFill="1" applyBorder="1" applyAlignment="1">
      <alignment vertical="center" shrinkToFit="1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6" fillId="0" borderId="19" xfId="0" applyFont="1" applyBorder="1" applyAlignment="1">
      <alignment horizontal="left"/>
    </xf>
    <xf numFmtId="0" fontId="14" fillId="0" borderId="0" xfId="0" applyFont="1"/>
    <xf numFmtId="0" fontId="6" fillId="0" borderId="0" xfId="0" applyFont="1"/>
    <xf numFmtId="0" fontId="1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/>
    </xf>
    <xf numFmtId="0" fontId="11" fillId="0" borderId="19" xfId="0" applyFont="1" applyBorder="1" applyAlignment="1">
      <alignment vertical="center" wrapText="1"/>
    </xf>
    <xf numFmtId="0" fontId="14" fillId="0" borderId="19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22" fontId="1" fillId="0" borderId="0" xfId="0" applyNumberFormat="1" applyFont="1" applyAlignment="1">
      <alignment vertical="center"/>
    </xf>
    <xf numFmtId="176" fontId="15" fillId="0" borderId="0" xfId="0" applyNumberFormat="1" applyFont="1" applyAlignment="1">
      <alignment horizontal="center" vertical="center" wrapText="1"/>
    </xf>
    <xf numFmtId="14" fontId="1" fillId="0" borderId="0" xfId="0" applyNumberFormat="1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indent="2"/>
    </xf>
    <xf numFmtId="0" fontId="14" fillId="0" borderId="0" xfId="0" applyFont="1" applyAlignment="1">
      <alignment horizontal="left" vertical="center" indent="2"/>
    </xf>
    <xf numFmtId="0" fontId="6" fillId="0" borderId="0" xfId="0" applyFont="1" applyAlignment="1">
      <alignment horizontal="left" indent="2"/>
    </xf>
    <xf numFmtId="0" fontId="18" fillId="0" borderId="0" xfId="0" applyFont="1" applyAlignment="1">
      <alignment vertical="center"/>
    </xf>
    <xf numFmtId="0" fontId="4" fillId="0" borderId="10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1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shrinkToFit="1"/>
    </xf>
    <xf numFmtId="0" fontId="11" fillId="3" borderId="6" xfId="0" applyFont="1" applyFill="1" applyBorder="1" applyAlignment="1">
      <alignment horizontal="center" vertical="center" shrinkToFit="1"/>
    </xf>
    <xf numFmtId="0" fontId="4" fillId="0" borderId="14" xfId="0" applyFont="1" applyBorder="1" applyAlignment="1">
      <alignment horizontal="center" vertical="center" shrinkToFit="1"/>
    </xf>
    <xf numFmtId="0" fontId="4" fillId="0" borderId="15" xfId="0" applyFont="1" applyBorder="1" applyAlignment="1">
      <alignment horizontal="center" vertical="center" shrinkToFit="1"/>
    </xf>
    <xf numFmtId="56" fontId="6" fillId="3" borderId="14" xfId="0" applyNumberFormat="1" applyFont="1" applyFill="1" applyBorder="1" applyAlignment="1">
      <alignment horizontal="center" vertical="center" shrinkToFit="1"/>
    </xf>
    <xf numFmtId="56" fontId="6" fillId="3" borderId="17" xfId="0" applyNumberFormat="1" applyFont="1" applyFill="1" applyBorder="1" applyAlignment="1">
      <alignment horizontal="center" vertical="center" shrinkToFit="1"/>
    </xf>
    <xf numFmtId="0" fontId="18" fillId="0" borderId="0" xfId="0" applyFont="1" applyAlignment="1">
      <alignment horizontal="center" vertical="center"/>
    </xf>
    <xf numFmtId="0" fontId="15" fillId="4" borderId="20" xfId="0" applyFont="1" applyFill="1" applyBorder="1" applyAlignment="1">
      <alignment horizontal="center" vertical="center" wrapText="1"/>
    </xf>
    <xf numFmtId="0" fontId="15" fillId="4" borderId="21" xfId="0" applyFont="1" applyFill="1" applyBorder="1" applyAlignment="1">
      <alignment horizontal="center" vertical="center" wrapText="1"/>
    </xf>
    <xf numFmtId="176" fontId="16" fillId="4" borderId="21" xfId="0" applyNumberFormat="1" applyFont="1" applyFill="1" applyBorder="1" applyAlignment="1">
      <alignment horizontal="center" vertical="center" wrapText="1"/>
    </xf>
    <xf numFmtId="176" fontId="16" fillId="4" borderId="22" xfId="0" applyNumberFormat="1" applyFont="1" applyFill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285750</xdr:colOff>
      <xdr:row>2</xdr:row>
      <xdr:rowOff>85725</xdr:rowOff>
    </xdr:from>
    <xdr:to>
      <xdr:col>14</xdr:col>
      <xdr:colOff>171450</xdr:colOff>
      <xdr:row>2</xdr:row>
      <xdr:rowOff>333375</xdr:rowOff>
    </xdr:to>
    <xdr:sp macro="" textlink="">
      <xdr:nvSpPr>
        <xdr:cNvPr id="2" name="テキスト ボックス 1" hidden="1">
          <a:extLst>
            <a:ext uri="{FF2B5EF4-FFF2-40B4-BE49-F238E27FC236}">
              <a16:creationId xmlns:a16="http://schemas.microsoft.com/office/drawing/2014/main" id="{2A525F2C-F5C8-42FA-A0F0-094CD44523B5}"/>
            </a:ext>
          </a:extLst>
        </xdr:cNvPr>
        <xdr:cNvSpPr txBox="1"/>
      </xdr:nvSpPr>
      <xdr:spPr>
        <a:xfrm>
          <a:off x="7797800" y="390525"/>
          <a:ext cx="463550" cy="6350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2857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kumimoji="1" lang="ja-JP" altLang="en-US" sz="1100" b="1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285750</xdr:colOff>
      <xdr:row>2</xdr:row>
      <xdr:rowOff>85725</xdr:rowOff>
    </xdr:from>
    <xdr:to>
      <xdr:col>14</xdr:col>
      <xdr:colOff>171450</xdr:colOff>
      <xdr:row>2</xdr:row>
      <xdr:rowOff>333375</xdr:rowOff>
    </xdr:to>
    <xdr:sp macro="" textlink="">
      <xdr:nvSpPr>
        <xdr:cNvPr id="3" name="テキスト ボックス 2" hidden="1">
          <a:extLst>
            <a:ext uri="{FF2B5EF4-FFF2-40B4-BE49-F238E27FC236}">
              <a16:creationId xmlns:a16="http://schemas.microsoft.com/office/drawing/2014/main" id="{F410320C-650B-4017-9EE6-41182828DA93}"/>
            </a:ext>
          </a:extLst>
        </xdr:cNvPr>
        <xdr:cNvSpPr txBox="1"/>
      </xdr:nvSpPr>
      <xdr:spPr>
        <a:xfrm>
          <a:off x="7797800" y="390525"/>
          <a:ext cx="463550" cy="6350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2857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kumimoji="1" lang="ja-JP" altLang="en-US" sz="1100" b="1">
            <a:latin typeface="+mj-ea"/>
            <a:ea typeface="+mj-ea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58BAD-DE61-4E62-A3FD-C9BA7614141B}">
  <sheetPr codeName="Sheet38"/>
  <dimension ref="A1:U45"/>
  <sheetViews>
    <sheetView tabSelected="1" view="pageBreakPreview" topLeftCell="A3" zoomScaleNormal="100" zoomScaleSheetLayoutView="100" workbookViewId="0">
      <selection activeCell="P18" sqref="P18"/>
    </sheetView>
  </sheetViews>
  <sheetFormatPr defaultColWidth="9.140625" defaultRowHeight="34.5" customHeight="1" x14ac:dyDescent="0.15"/>
  <cols>
    <col min="1" max="1" width="5.7109375" style="3" customWidth="1"/>
    <col min="2" max="2" width="15" style="3" customWidth="1"/>
    <col min="3" max="3" width="5.7109375" style="3" customWidth="1"/>
    <col min="4" max="4" width="5.7109375" style="4" customWidth="1"/>
    <col min="5" max="5" width="18.7109375" style="3" customWidth="1"/>
    <col min="6" max="7" width="5.7109375" style="3" customWidth="1"/>
    <col min="8" max="8" width="18.7109375" style="3" customWidth="1"/>
    <col min="9" max="10" width="5.7109375" style="3" customWidth="1"/>
    <col min="11" max="11" width="18.7109375" style="3" customWidth="1"/>
    <col min="12" max="13" width="5.7109375" style="3" customWidth="1"/>
    <col min="14" max="14" width="18.7109375" style="1" customWidth="1"/>
    <col min="15" max="16" width="5.7109375" style="2" customWidth="1"/>
    <col min="17" max="17" width="22.85546875" style="1" bestFit="1" customWidth="1"/>
    <col min="18" max="16384" width="9.140625" style="1"/>
  </cols>
  <sheetData>
    <row r="1" spans="1:21" ht="38.450000000000003" customHeight="1" x14ac:dyDescent="0.15">
      <c r="A1" s="51"/>
      <c r="B1" s="51"/>
      <c r="C1" s="51"/>
      <c r="D1" s="55"/>
      <c r="E1" s="69" t="s">
        <v>20</v>
      </c>
      <c r="F1" s="69"/>
      <c r="G1" s="69"/>
      <c r="H1" s="69"/>
      <c r="I1" s="69"/>
      <c r="J1" s="69"/>
      <c r="K1" s="69"/>
      <c r="L1" s="69"/>
      <c r="M1" s="69"/>
      <c r="N1" s="33"/>
    </row>
    <row r="2" spans="1:21" ht="18.95" customHeight="1" x14ac:dyDescent="0.15">
      <c r="A2" s="50"/>
      <c r="B2" s="50"/>
      <c r="C2" s="50"/>
      <c r="D2" s="43"/>
      <c r="E2" s="50"/>
      <c r="F2" s="47"/>
      <c r="G2" s="47"/>
      <c r="H2" s="50"/>
      <c r="I2" s="47"/>
      <c r="J2" s="47"/>
      <c r="K2" s="49"/>
      <c r="L2" s="47"/>
      <c r="M2" s="47"/>
      <c r="O2" s="60">
        <f ca="1">TODAY()</f>
        <v>45806</v>
      </c>
      <c r="P2" s="61"/>
    </row>
    <row r="3" spans="1:21" ht="34.5" customHeight="1" x14ac:dyDescent="0.15">
      <c r="A3" s="70" t="s">
        <v>17</v>
      </c>
      <c r="B3" s="71"/>
      <c r="C3" s="72">
        <v>45811</v>
      </c>
      <c r="D3" s="72"/>
      <c r="E3" s="72"/>
      <c r="F3" s="73"/>
      <c r="G3" s="47"/>
      <c r="H3" s="48"/>
      <c r="I3" s="47"/>
      <c r="J3" s="47"/>
      <c r="K3" s="47"/>
      <c r="L3" s="47"/>
      <c r="M3" s="47"/>
      <c r="N3" s="33"/>
      <c r="O3" s="1"/>
      <c r="P3" s="1"/>
    </row>
    <row r="4" spans="1:21" ht="20.25" customHeight="1" x14ac:dyDescent="0.15">
      <c r="A4" s="46" t="s">
        <v>16</v>
      </c>
      <c r="B4" s="46"/>
      <c r="C4" s="46"/>
      <c r="D4" s="41"/>
      <c r="E4" s="46"/>
      <c r="F4" s="46"/>
      <c r="G4" s="46"/>
      <c r="H4" s="46"/>
      <c r="I4" s="46"/>
      <c r="J4" s="46"/>
      <c r="K4" s="37"/>
      <c r="L4" s="46"/>
      <c r="M4" s="46"/>
      <c r="N4" s="37" t="s">
        <v>15</v>
      </c>
      <c r="O4" s="46"/>
      <c r="P4" s="46"/>
    </row>
    <row r="5" spans="1:21" ht="20.25" customHeight="1" x14ac:dyDescent="0.15">
      <c r="A5" s="46" t="s">
        <v>14</v>
      </c>
      <c r="B5" s="46"/>
      <c r="C5" s="46"/>
      <c r="D5" s="41"/>
      <c r="E5" s="46"/>
      <c r="F5" s="46"/>
      <c r="G5" s="46"/>
      <c r="H5" s="46"/>
      <c r="I5" s="46"/>
      <c r="J5" s="46"/>
      <c r="K5" s="37"/>
      <c r="L5" s="46"/>
      <c r="M5" s="46"/>
      <c r="N5" s="37" t="s">
        <v>13</v>
      </c>
      <c r="O5" s="46"/>
      <c r="P5" s="46"/>
    </row>
    <row r="6" spans="1:21" ht="33.75" customHeight="1" x14ac:dyDescent="0.15">
      <c r="A6" s="74" t="s">
        <v>12</v>
      </c>
      <c r="B6" s="74"/>
      <c r="C6" s="74"/>
      <c r="D6" s="74"/>
      <c r="E6" s="45" t="s">
        <v>11</v>
      </c>
      <c r="F6" s="44"/>
      <c r="G6" s="42"/>
      <c r="H6" s="43"/>
      <c r="I6" s="42"/>
      <c r="J6" s="42"/>
      <c r="K6" s="62"/>
      <c r="L6" s="62"/>
      <c r="M6" s="62"/>
      <c r="N6" s="62" t="s">
        <v>10</v>
      </c>
      <c r="O6" s="62"/>
      <c r="P6" s="62"/>
    </row>
    <row r="7" spans="1:21" ht="18" customHeight="1" x14ac:dyDescent="0.15">
      <c r="A7" s="41"/>
      <c r="B7" s="41"/>
      <c r="C7" s="41"/>
      <c r="D7" s="41"/>
      <c r="E7" s="41"/>
      <c r="F7" s="41"/>
      <c r="G7" s="41"/>
      <c r="H7" s="41"/>
      <c r="I7" s="41"/>
      <c r="J7" s="41"/>
      <c r="K7" s="1"/>
      <c r="L7" s="41"/>
      <c r="M7" s="41"/>
      <c r="N7" s="52" t="s">
        <v>9</v>
      </c>
      <c r="O7" s="53"/>
      <c r="P7" s="53"/>
    </row>
    <row r="8" spans="1:21" ht="21" customHeight="1" x14ac:dyDescent="0.25">
      <c r="A8" s="25" t="s">
        <v>8</v>
      </c>
      <c r="B8" s="40"/>
      <c r="C8" s="40"/>
      <c r="D8" s="39"/>
      <c r="E8" s="38"/>
      <c r="F8" s="36"/>
      <c r="G8" s="36"/>
      <c r="H8" s="38"/>
      <c r="I8" s="36"/>
      <c r="J8" s="36"/>
      <c r="K8" s="37"/>
      <c r="L8" s="36"/>
      <c r="M8" s="36"/>
      <c r="N8" s="52" t="s">
        <v>7</v>
      </c>
      <c r="O8" s="54"/>
      <c r="P8" s="54"/>
    </row>
    <row r="9" spans="1:21" s="25" customFormat="1" ht="30" customHeight="1" x14ac:dyDescent="0.15">
      <c r="A9" s="35" t="s">
        <v>6</v>
      </c>
      <c r="B9" s="67">
        <f>C3+(6-WEEKDAY(C3))</f>
        <v>45814</v>
      </c>
      <c r="C9" s="68"/>
      <c r="D9" s="34" t="s">
        <v>5</v>
      </c>
      <c r="E9" s="67">
        <f>C3+(7-WEEKDAY(C3))</f>
        <v>45815</v>
      </c>
      <c r="F9" s="68"/>
      <c r="G9" s="34" t="s">
        <v>19</v>
      </c>
      <c r="H9" s="67">
        <f>C3+(9-WEEKDAY(C3))</f>
        <v>45817</v>
      </c>
      <c r="I9" s="68"/>
      <c r="J9" s="34" t="s">
        <v>4</v>
      </c>
      <c r="K9" s="67">
        <f>C3+(10-WEEKDAY(C3))</f>
        <v>45818</v>
      </c>
      <c r="L9" s="68"/>
      <c r="M9" s="34" t="s">
        <v>3</v>
      </c>
      <c r="N9" s="67">
        <f>C3+(12-WEEKDAY(C3))</f>
        <v>45820</v>
      </c>
      <c r="O9" s="68"/>
      <c r="P9" s="34" t="s">
        <v>18</v>
      </c>
      <c r="Q9" s="33"/>
      <c r="R9" s="32"/>
      <c r="S9" s="32"/>
    </row>
    <row r="10" spans="1:21" s="25" customFormat="1" ht="21.75" customHeight="1" x14ac:dyDescent="0.15">
      <c r="A10" s="63" t="s">
        <v>2</v>
      </c>
      <c r="B10" s="64"/>
      <c r="C10" s="30" t="s">
        <v>1</v>
      </c>
      <c r="D10" s="29" t="s">
        <v>0</v>
      </c>
      <c r="E10" s="31" t="s">
        <v>2</v>
      </c>
      <c r="F10" s="30" t="s">
        <v>1</v>
      </c>
      <c r="G10" s="29" t="s">
        <v>0</v>
      </c>
      <c r="H10" s="31" t="s">
        <v>2</v>
      </c>
      <c r="I10" s="30" t="s">
        <v>1</v>
      </c>
      <c r="J10" s="29" t="s">
        <v>0</v>
      </c>
      <c r="K10" s="31" t="s">
        <v>2</v>
      </c>
      <c r="L10" s="30" t="s">
        <v>1</v>
      </c>
      <c r="M10" s="29" t="s">
        <v>0</v>
      </c>
      <c r="N10" s="31" t="s">
        <v>2</v>
      </c>
      <c r="O10" s="30" t="s">
        <v>1</v>
      </c>
      <c r="P10" s="29" t="s">
        <v>0</v>
      </c>
      <c r="Q10" s="28"/>
      <c r="R10" s="27"/>
      <c r="S10" s="27"/>
      <c r="T10" s="27"/>
      <c r="U10" s="26"/>
    </row>
    <row r="11" spans="1:21" s="2" customFormat="1" ht="31.5" customHeight="1" x14ac:dyDescent="0.15">
      <c r="A11" s="65" t="s">
        <v>23</v>
      </c>
      <c r="B11" s="66"/>
      <c r="C11" s="23">
        <v>4</v>
      </c>
      <c r="D11" s="22" t="s">
        <v>22</v>
      </c>
      <c r="E11" s="24" t="s">
        <v>43</v>
      </c>
      <c r="F11" s="23">
        <v>12</v>
      </c>
      <c r="G11" s="22" t="s">
        <v>22</v>
      </c>
      <c r="H11" s="24" t="s">
        <v>30</v>
      </c>
      <c r="I11" s="23">
        <v>1</v>
      </c>
      <c r="J11" s="22" t="s">
        <v>34</v>
      </c>
      <c r="K11" s="24" t="s">
        <v>37</v>
      </c>
      <c r="L11" s="23">
        <v>2</v>
      </c>
      <c r="M11" s="22" t="s">
        <v>24</v>
      </c>
      <c r="N11" s="24" t="s">
        <v>50</v>
      </c>
      <c r="O11" s="23">
        <v>4</v>
      </c>
      <c r="P11" s="22" t="s">
        <v>51</v>
      </c>
      <c r="R11" s="15"/>
      <c r="S11" s="15"/>
      <c r="T11" s="15"/>
    </row>
    <row r="12" spans="1:21" s="2" customFormat="1" ht="31.5" customHeight="1" x14ac:dyDescent="0.15">
      <c r="A12" s="56" t="s">
        <v>32</v>
      </c>
      <c r="B12" s="57"/>
      <c r="C12" s="17">
        <v>1</v>
      </c>
      <c r="D12" s="16" t="s">
        <v>25</v>
      </c>
      <c r="E12" s="19" t="s">
        <v>36</v>
      </c>
      <c r="F12" s="17">
        <v>1</v>
      </c>
      <c r="G12" s="16" t="s">
        <v>41</v>
      </c>
      <c r="H12" s="19" t="s">
        <v>37</v>
      </c>
      <c r="I12" s="17">
        <v>2</v>
      </c>
      <c r="J12" s="16" t="s">
        <v>24</v>
      </c>
      <c r="K12" s="19" t="s">
        <v>29</v>
      </c>
      <c r="L12" s="17">
        <v>1</v>
      </c>
      <c r="M12" s="16" t="s">
        <v>24</v>
      </c>
      <c r="N12" s="19" t="s">
        <v>52</v>
      </c>
      <c r="O12" s="17">
        <v>1</v>
      </c>
      <c r="P12" s="16" t="s">
        <v>22</v>
      </c>
      <c r="R12" s="15"/>
      <c r="S12" s="15"/>
      <c r="T12" s="15"/>
    </row>
    <row r="13" spans="1:21" s="2" customFormat="1" ht="31.5" customHeight="1" x14ac:dyDescent="0.15">
      <c r="A13" s="56" t="s">
        <v>38</v>
      </c>
      <c r="B13" s="57"/>
      <c r="C13" s="17">
        <v>100</v>
      </c>
      <c r="D13" s="16" t="s">
        <v>39</v>
      </c>
      <c r="E13" s="19" t="s">
        <v>44</v>
      </c>
      <c r="F13" s="17">
        <v>2</v>
      </c>
      <c r="G13" s="16" t="s">
        <v>41</v>
      </c>
      <c r="H13" s="19" t="s">
        <v>30</v>
      </c>
      <c r="I13" s="17">
        <v>2</v>
      </c>
      <c r="J13" s="16" t="s">
        <v>34</v>
      </c>
      <c r="K13" s="19" t="s">
        <v>33</v>
      </c>
      <c r="L13" s="17">
        <v>2</v>
      </c>
      <c r="M13" s="16" t="s">
        <v>24</v>
      </c>
      <c r="N13" s="18" t="s">
        <v>53</v>
      </c>
      <c r="O13" s="17">
        <v>2</v>
      </c>
      <c r="P13" s="16" t="s">
        <v>34</v>
      </c>
      <c r="R13" s="15"/>
      <c r="S13" s="15"/>
      <c r="T13" s="15"/>
    </row>
    <row r="14" spans="1:21" s="2" customFormat="1" ht="31.5" customHeight="1" x14ac:dyDescent="0.15">
      <c r="A14" s="56" t="s">
        <v>40</v>
      </c>
      <c r="B14" s="57"/>
      <c r="C14" s="17">
        <v>5</v>
      </c>
      <c r="D14" s="16" t="s">
        <v>41</v>
      </c>
      <c r="E14" s="19" t="s">
        <v>31</v>
      </c>
      <c r="F14" s="17">
        <v>1</v>
      </c>
      <c r="G14" s="16" t="s">
        <v>24</v>
      </c>
      <c r="H14" s="19" t="s">
        <v>21</v>
      </c>
      <c r="I14" s="17">
        <v>5</v>
      </c>
      <c r="J14" s="16" t="s">
        <v>22</v>
      </c>
      <c r="K14" s="19" t="s">
        <v>47</v>
      </c>
      <c r="L14" s="17">
        <v>1</v>
      </c>
      <c r="M14" s="16" t="s">
        <v>25</v>
      </c>
      <c r="N14" s="18" t="s">
        <v>54</v>
      </c>
      <c r="O14" s="17">
        <v>500</v>
      </c>
      <c r="P14" s="16" t="s">
        <v>39</v>
      </c>
      <c r="R14" s="15"/>
      <c r="S14" s="15"/>
      <c r="T14" s="15"/>
    </row>
    <row r="15" spans="1:21" s="2" customFormat="1" ht="31.5" customHeight="1" x14ac:dyDescent="0.15">
      <c r="A15" s="56" t="s">
        <v>35</v>
      </c>
      <c r="B15" s="57"/>
      <c r="C15" s="17">
        <v>1</v>
      </c>
      <c r="D15" s="16" t="s">
        <v>41</v>
      </c>
      <c r="E15" s="19" t="s">
        <v>21</v>
      </c>
      <c r="F15" s="17">
        <v>5</v>
      </c>
      <c r="G15" s="16" t="s">
        <v>22</v>
      </c>
      <c r="H15" s="19" t="s">
        <v>46</v>
      </c>
      <c r="I15" s="17">
        <v>6</v>
      </c>
      <c r="J15" s="16" t="s">
        <v>24</v>
      </c>
      <c r="K15" s="19" t="s">
        <v>48</v>
      </c>
      <c r="L15" s="17">
        <v>2</v>
      </c>
      <c r="M15" s="16" t="s">
        <v>34</v>
      </c>
      <c r="N15" s="18" t="s">
        <v>55</v>
      </c>
      <c r="O15" s="17">
        <v>1</v>
      </c>
      <c r="P15" s="16" t="s">
        <v>56</v>
      </c>
      <c r="R15" s="15"/>
      <c r="S15" s="15"/>
    </row>
    <row r="16" spans="1:21" s="2" customFormat="1" ht="31.5" customHeight="1" x14ac:dyDescent="0.15">
      <c r="A16" s="56" t="s">
        <v>42</v>
      </c>
      <c r="B16" s="57"/>
      <c r="C16" s="17">
        <v>1</v>
      </c>
      <c r="D16" s="16" t="s">
        <v>41</v>
      </c>
      <c r="E16" s="19" t="s">
        <v>30</v>
      </c>
      <c r="F16" s="17">
        <v>1</v>
      </c>
      <c r="G16" s="16" t="s">
        <v>41</v>
      </c>
      <c r="H16" s="19"/>
      <c r="I16" s="17"/>
      <c r="J16" s="16"/>
      <c r="K16" s="19" t="s">
        <v>32</v>
      </c>
      <c r="L16" s="17">
        <v>1</v>
      </c>
      <c r="M16" s="16" t="s">
        <v>25</v>
      </c>
      <c r="N16" s="18" t="s">
        <v>57</v>
      </c>
      <c r="O16" s="17">
        <v>100</v>
      </c>
      <c r="P16" s="16" t="s">
        <v>39</v>
      </c>
      <c r="R16" s="15"/>
      <c r="S16" s="15"/>
    </row>
    <row r="17" spans="1:19" s="2" customFormat="1" ht="31.5" customHeight="1" x14ac:dyDescent="0.15">
      <c r="A17" s="56"/>
      <c r="B17" s="57"/>
      <c r="C17" s="17"/>
      <c r="D17" s="16"/>
      <c r="E17" s="19" t="s">
        <v>45</v>
      </c>
      <c r="F17" s="17">
        <v>10</v>
      </c>
      <c r="G17" s="16" t="s">
        <v>24</v>
      </c>
      <c r="H17" s="19"/>
      <c r="I17" s="17"/>
      <c r="J17" s="16"/>
      <c r="K17" s="19" t="s">
        <v>21</v>
      </c>
      <c r="L17" s="17">
        <v>3</v>
      </c>
      <c r="M17" s="16" t="s">
        <v>22</v>
      </c>
      <c r="N17" s="18" t="s">
        <v>58</v>
      </c>
      <c r="O17" s="17">
        <v>1</v>
      </c>
      <c r="P17" s="16" t="s">
        <v>22</v>
      </c>
      <c r="R17" s="15"/>
      <c r="S17" s="15"/>
    </row>
    <row r="18" spans="1:19" s="2" customFormat="1" ht="31.5" customHeight="1" x14ac:dyDescent="0.15">
      <c r="A18" s="56"/>
      <c r="B18" s="57"/>
      <c r="C18" s="17"/>
      <c r="D18" s="16"/>
      <c r="E18" s="19" t="s">
        <v>23</v>
      </c>
      <c r="F18" s="17">
        <v>1</v>
      </c>
      <c r="G18" s="16" t="s">
        <v>22</v>
      </c>
      <c r="H18" s="19"/>
      <c r="I18" s="17"/>
      <c r="J18" s="16"/>
      <c r="K18" s="19" t="s">
        <v>31</v>
      </c>
      <c r="L18" s="17">
        <v>1</v>
      </c>
      <c r="M18" s="16" t="s">
        <v>24</v>
      </c>
      <c r="N18" s="18" t="s">
        <v>28</v>
      </c>
      <c r="O18" s="17">
        <v>1</v>
      </c>
      <c r="P18" s="16" t="s">
        <v>34</v>
      </c>
      <c r="R18" s="15"/>
      <c r="S18" s="15"/>
    </row>
    <row r="19" spans="1:19" s="2" customFormat="1" ht="31.5" customHeight="1" x14ac:dyDescent="0.15">
      <c r="A19" s="21"/>
      <c r="B19" s="20"/>
      <c r="C19" s="17"/>
      <c r="D19" s="16"/>
      <c r="E19" s="19" t="s">
        <v>26</v>
      </c>
      <c r="F19" s="17">
        <v>2</v>
      </c>
      <c r="G19" s="16" t="s">
        <v>27</v>
      </c>
      <c r="H19" s="19"/>
      <c r="I19" s="17"/>
      <c r="J19" s="16"/>
      <c r="K19" s="19" t="s">
        <v>30</v>
      </c>
      <c r="L19" s="17">
        <v>1</v>
      </c>
      <c r="M19" s="16" t="s">
        <v>34</v>
      </c>
      <c r="N19" s="18"/>
      <c r="O19" s="17"/>
      <c r="P19" s="16"/>
      <c r="R19" s="15"/>
      <c r="S19" s="15"/>
    </row>
    <row r="20" spans="1:19" s="2" customFormat="1" ht="31.5" customHeight="1" x14ac:dyDescent="0.15">
      <c r="A20" s="56"/>
      <c r="B20" s="57"/>
      <c r="C20" s="17"/>
      <c r="D20" s="16"/>
      <c r="E20" s="19" t="s">
        <v>42</v>
      </c>
      <c r="F20" s="17">
        <v>2</v>
      </c>
      <c r="G20" s="16" t="s">
        <v>41</v>
      </c>
      <c r="H20" s="19"/>
      <c r="I20" s="17"/>
      <c r="J20" s="16"/>
      <c r="K20" s="19" t="s">
        <v>49</v>
      </c>
      <c r="L20" s="17">
        <v>6</v>
      </c>
      <c r="M20" s="16" t="s">
        <v>24</v>
      </c>
      <c r="N20" s="18"/>
      <c r="O20" s="17"/>
      <c r="P20" s="16"/>
      <c r="R20" s="15"/>
      <c r="S20" s="15"/>
    </row>
    <row r="21" spans="1:19" s="2" customFormat="1" ht="31.5" customHeight="1" x14ac:dyDescent="0.15">
      <c r="A21" s="56"/>
      <c r="B21" s="57"/>
      <c r="C21" s="17"/>
      <c r="D21" s="16"/>
      <c r="E21" s="19"/>
      <c r="F21" s="17"/>
      <c r="G21" s="16"/>
      <c r="H21" s="19"/>
      <c r="I21" s="17"/>
      <c r="J21" s="16"/>
      <c r="K21" s="19"/>
      <c r="L21" s="17"/>
      <c r="M21" s="16"/>
      <c r="N21" s="18"/>
      <c r="O21" s="17"/>
      <c r="P21" s="16"/>
      <c r="R21" s="15"/>
      <c r="S21" s="15"/>
    </row>
    <row r="22" spans="1:19" s="2" customFormat="1" ht="31.5" customHeight="1" x14ac:dyDescent="0.15">
      <c r="A22" s="58"/>
      <c r="B22" s="59"/>
      <c r="C22" s="12"/>
      <c r="D22" s="11"/>
      <c r="E22" s="14"/>
      <c r="F22" s="12"/>
      <c r="G22" s="11"/>
      <c r="H22" s="14"/>
      <c r="I22" s="12"/>
      <c r="J22" s="11"/>
      <c r="K22" s="14"/>
      <c r="L22" s="12"/>
      <c r="M22" s="11"/>
      <c r="N22" s="13"/>
      <c r="O22" s="12"/>
      <c r="P22" s="11"/>
    </row>
    <row r="23" spans="1:19" ht="34.5" customHeight="1" x14ac:dyDescent="0.15">
      <c r="A23" s="1"/>
      <c r="B23" s="1"/>
      <c r="C23" s="1"/>
      <c r="D23" s="5"/>
      <c r="E23" s="10"/>
      <c r="F23" s="10"/>
      <c r="G23" s="10"/>
      <c r="H23" s="10"/>
      <c r="I23" s="10"/>
      <c r="J23" s="10"/>
      <c r="K23" s="10"/>
      <c r="L23" s="10"/>
      <c r="M23" s="10"/>
    </row>
    <row r="24" spans="1:19" ht="34.5" customHeight="1" x14ac:dyDescent="0.15">
      <c r="A24" s="1"/>
      <c r="B24" s="1"/>
      <c r="C24" s="1"/>
      <c r="D24" s="5"/>
      <c r="E24" s="9"/>
      <c r="F24" s="8"/>
      <c r="G24" s="8"/>
      <c r="H24" s="9"/>
      <c r="I24" s="8"/>
      <c r="J24" s="8"/>
      <c r="K24" s="9"/>
      <c r="L24" s="8"/>
      <c r="M24" s="8"/>
    </row>
    <row r="25" spans="1:19" ht="34.5" customHeight="1" x14ac:dyDescent="0.15">
      <c r="A25" s="1"/>
      <c r="B25" s="1"/>
      <c r="C25" s="1"/>
      <c r="D25" s="5"/>
      <c r="E25" s="7"/>
      <c r="F25" s="6"/>
      <c r="G25" s="6"/>
      <c r="H25" s="7"/>
      <c r="I25" s="6"/>
      <c r="J25" s="6"/>
      <c r="K25" s="7"/>
      <c r="L25" s="6"/>
      <c r="M25" s="6"/>
    </row>
    <row r="26" spans="1:19" ht="34.5" customHeight="1" x14ac:dyDescent="0.15">
      <c r="A26" s="1"/>
      <c r="B26" s="1"/>
      <c r="C26" s="1"/>
      <c r="D26" s="5"/>
      <c r="E26" s="1"/>
      <c r="F26" s="1"/>
      <c r="G26" s="1"/>
      <c r="H26" s="1"/>
      <c r="I26" s="1"/>
      <c r="J26" s="1"/>
      <c r="K26" s="1"/>
      <c r="L26" s="1"/>
      <c r="M26" s="1"/>
    </row>
    <row r="27" spans="1:19" ht="34.5" customHeight="1" x14ac:dyDescent="0.15">
      <c r="A27" s="1"/>
      <c r="B27" s="1"/>
      <c r="C27" s="1"/>
      <c r="D27" s="5"/>
      <c r="E27" s="1"/>
      <c r="F27" s="1"/>
      <c r="G27" s="1"/>
      <c r="H27" s="1"/>
      <c r="I27" s="1"/>
      <c r="J27" s="1"/>
      <c r="K27" s="1"/>
      <c r="L27" s="1"/>
      <c r="M27" s="1"/>
    </row>
    <row r="28" spans="1:19" ht="34.5" customHeight="1" x14ac:dyDescent="0.15">
      <c r="A28" s="1"/>
      <c r="B28" s="1"/>
      <c r="C28" s="1"/>
      <c r="D28" s="5"/>
      <c r="E28" s="1"/>
      <c r="F28" s="1"/>
      <c r="G28" s="1"/>
      <c r="H28" s="1"/>
      <c r="I28" s="1"/>
      <c r="J28" s="1"/>
      <c r="K28" s="1"/>
      <c r="L28" s="1"/>
      <c r="M28" s="1"/>
    </row>
    <row r="29" spans="1:19" ht="34.5" customHeight="1" x14ac:dyDescent="0.15">
      <c r="A29" s="1"/>
      <c r="B29" s="1"/>
      <c r="C29" s="1"/>
      <c r="D29" s="5"/>
      <c r="E29" s="1"/>
      <c r="F29" s="1"/>
      <c r="G29" s="1"/>
      <c r="H29" s="1"/>
      <c r="I29" s="1"/>
      <c r="J29" s="1"/>
      <c r="K29" s="1"/>
      <c r="L29" s="1"/>
      <c r="M29" s="1"/>
    </row>
    <row r="30" spans="1:19" ht="34.5" customHeight="1" x14ac:dyDescent="0.15">
      <c r="A30" s="1"/>
      <c r="B30" s="1"/>
      <c r="C30" s="1"/>
      <c r="D30" s="5"/>
      <c r="E30" s="1"/>
      <c r="F30" s="1"/>
      <c r="G30" s="1"/>
      <c r="H30" s="1"/>
      <c r="I30" s="1"/>
      <c r="J30" s="1"/>
      <c r="K30" s="1"/>
      <c r="L30" s="1"/>
      <c r="M30" s="1"/>
    </row>
    <row r="31" spans="1:19" ht="34.5" customHeight="1" x14ac:dyDescent="0.15">
      <c r="A31" s="1"/>
      <c r="B31" s="1"/>
      <c r="C31" s="1"/>
      <c r="D31" s="5"/>
      <c r="E31" s="1"/>
      <c r="F31" s="1"/>
      <c r="G31" s="1"/>
      <c r="H31" s="1"/>
      <c r="I31" s="1"/>
      <c r="J31" s="1"/>
      <c r="K31" s="1"/>
      <c r="L31" s="1"/>
      <c r="M31" s="1"/>
    </row>
    <row r="32" spans="1:19" ht="34.5" customHeight="1" x14ac:dyDescent="0.15">
      <c r="A32" s="1"/>
      <c r="B32" s="1"/>
      <c r="C32" s="1"/>
      <c r="D32" s="5"/>
      <c r="E32" s="1"/>
      <c r="F32" s="1"/>
      <c r="G32" s="1"/>
      <c r="H32" s="1"/>
      <c r="I32" s="1"/>
      <c r="J32" s="1"/>
      <c r="K32" s="1"/>
      <c r="L32" s="1"/>
      <c r="M32" s="1"/>
    </row>
    <row r="33" spans="1:13" ht="34.5" customHeight="1" x14ac:dyDescent="0.15">
      <c r="A33" s="1"/>
      <c r="B33" s="1"/>
      <c r="C33" s="1"/>
      <c r="D33" s="5"/>
      <c r="E33" s="1"/>
      <c r="F33" s="1"/>
      <c r="G33" s="1"/>
      <c r="H33" s="1"/>
      <c r="I33" s="1"/>
      <c r="J33" s="1"/>
      <c r="K33" s="1"/>
      <c r="L33" s="1"/>
      <c r="M33" s="1"/>
    </row>
    <row r="34" spans="1:13" ht="34.5" customHeight="1" x14ac:dyDescent="0.15">
      <c r="A34" s="1"/>
      <c r="B34" s="1"/>
      <c r="C34" s="1"/>
      <c r="D34" s="5"/>
      <c r="E34" s="1"/>
      <c r="F34" s="1"/>
      <c r="G34" s="1"/>
      <c r="H34" s="1"/>
      <c r="I34" s="1"/>
      <c r="J34" s="1"/>
      <c r="K34" s="1"/>
      <c r="L34" s="1"/>
      <c r="M34" s="1"/>
    </row>
    <row r="35" spans="1:13" ht="34.5" customHeight="1" x14ac:dyDescent="0.15">
      <c r="A35" s="1"/>
      <c r="B35" s="1"/>
      <c r="C35" s="1"/>
      <c r="D35" s="5"/>
      <c r="E35" s="1"/>
      <c r="F35" s="1"/>
      <c r="G35" s="1"/>
      <c r="H35" s="1"/>
      <c r="I35" s="1"/>
      <c r="J35" s="1"/>
      <c r="K35" s="1"/>
      <c r="L35" s="1"/>
      <c r="M35" s="1"/>
    </row>
    <row r="36" spans="1:13" ht="34.5" customHeight="1" x14ac:dyDescent="0.15">
      <c r="A36" s="1"/>
      <c r="B36" s="1"/>
      <c r="C36" s="1"/>
      <c r="D36" s="5"/>
      <c r="E36" s="1"/>
      <c r="F36" s="1"/>
      <c r="G36" s="1"/>
      <c r="H36" s="1"/>
      <c r="I36" s="1"/>
      <c r="J36" s="1"/>
      <c r="K36" s="1"/>
      <c r="L36" s="1"/>
      <c r="M36" s="1"/>
    </row>
    <row r="37" spans="1:13" ht="34.5" customHeight="1" x14ac:dyDescent="0.15">
      <c r="A37" s="1"/>
      <c r="B37" s="1"/>
      <c r="C37" s="1"/>
      <c r="D37" s="5"/>
      <c r="E37" s="1"/>
      <c r="F37" s="1"/>
      <c r="G37" s="1"/>
      <c r="H37" s="1"/>
      <c r="I37" s="1"/>
      <c r="J37" s="1"/>
      <c r="K37" s="1"/>
      <c r="L37" s="1"/>
      <c r="M37" s="1"/>
    </row>
    <row r="38" spans="1:13" ht="34.5" customHeight="1" x14ac:dyDescent="0.15">
      <c r="A38" s="1"/>
      <c r="B38" s="1"/>
      <c r="C38" s="1"/>
      <c r="D38" s="5"/>
      <c r="E38" s="1"/>
      <c r="F38" s="1"/>
      <c r="G38" s="1"/>
      <c r="H38" s="1"/>
      <c r="I38" s="1"/>
      <c r="J38" s="1"/>
      <c r="K38" s="1"/>
      <c r="L38" s="1"/>
      <c r="M38" s="1"/>
    </row>
    <row r="39" spans="1:13" ht="34.5" customHeight="1" x14ac:dyDescent="0.15">
      <c r="A39" s="1"/>
      <c r="B39" s="1"/>
      <c r="C39" s="1"/>
      <c r="D39" s="5"/>
      <c r="E39" s="1"/>
      <c r="F39" s="1"/>
      <c r="G39" s="1"/>
      <c r="H39" s="1"/>
      <c r="I39" s="1"/>
      <c r="J39" s="1"/>
      <c r="K39" s="1"/>
      <c r="L39" s="1"/>
      <c r="M39" s="1"/>
    </row>
    <row r="40" spans="1:13" ht="34.5" customHeight="1" x14ac:dyDescent="0.15">
      <c r="A40" s="1"/>
      <c r="B40" s="1"/>
      <c r="C40" s="1"/>
      <c r="D40" s="5"/>
      <c r="E40" s="1"/>
      <c r="F40" s="1"/>
      <c r="G40" s="1"/>
      <c r="H40" s="1"/>
      <c r="I40" s="1"/>
      <c r="J40" s="1"/>
      <c r="K40" s="1"/>
      <c r="L40" s="1"/>
      <c r="M40" s="1"/>
    </row>
    <row r="41" spans="1:13" ht="34.5" customHeight="1" x14ac:dyDescent="0.15">
      <c r="A41" s="1"/>
      <c r="B41" s="1"/>
      <c r="C41" s="1"/>
      <c r="D41" s="5"/>
      <c r="E41" s="1"/>
      <c r="F41" s="1"/>
      <c r="G41" s="1"/>
      <c r="H41" s="1"/>
      <c r="I41" s="1"/>
      <c r="J41" s="1"/>
      <c r="K41" s="1"/>
      <c r="L41" s="1"/>
      <c r="M41" s="1"/>
    </row>
    <row r="42" spans="1:13" ht="34.5" customHeight="1" x14ac:dyDescent="0.15">
      <c r="A42" s="1"/>
      <c r="B42" s="1"/>
      <c r="C42" s="1"/>
      <c r="D42" s="5"/>
      <c r="E42" s="1"/>
      <c r="F42" s="1"/>
      <c r="G42" s="1"/>
      <c r="H42" s="1"/>
      <c r="I42" s="1"/>
      <c r="J42" s="1"/>
      <c r="K42" s="1"/>
      <c r="L42" s="1"/>
      <c r="M42" s="1"/>
    </row>
    <row r="43" spans="1:13" ht="34.5" customHeight="1" x14ac:dyDescent="0.15">
      <c r="A43" s="1"/>
      <c r="B43" s="1"/>
      <c r="C43" s="1"/>
      <c r="D43" s="5"/>
      <c r="E43" s="1"/>
      <c r="F43" s="1"/>
      <c r="G43" s="1"/>
      <c r="H43" s="1"/>
      <c r="I43" s="1"/>
      <c r="J43" s="1"/>
      <c r="K43" s="1"/>
      <c r="L43" s="1"/>
      <c r="M43" s="1"/>
    </row>
    <row r="44" spans="1:13" ht="34.5" customHeight="1" x14ac:dyDescent="0.15">
      <c r="A44" s="1"/>
      <c r="B44" s="1"/>
      <c r="C44" s="1"/>
      <c r="D44" s="5"/>
      <c r="E44" s="1"/>
      <c r="F44" s="1"/>
      <c r="G44" s="1"/>
      <c r="H44" s="1"/>
      <c r="I44" s="1"/>
      <c r="J44" s="1"/>
      <c r="K44" s="1"/>
      <c r="L44" s="1"/>
      <c r="M44" s="1"/>
    </row>
    <row r="45" spans="1:13" ht="34.5" customHeight="1" x14ac:dyDescent="0.15">
      <c r="C45" s="1"/>
      <c r="D45" s="5"/>
      <c r="E45" s="1"/>
      <c r="F45" s="1"/>
      <c r="G45" s="1"/>
      <c r="H45" s="1"/>
      <c r="I45" s="1"/>
      <c r="J45" s="1"/>
      <c r="L45" s="1"/>
      <c r="M45" s="1"/>
    </row>
  </sheetData>
  <mergeCells count="24">
    <mergeCell ref="E1:M1"/>
    <mergeCell ref="H9:I9"/>
    <mergeCell ref="N9:O9"/>
    <mergeCell ref="K9:L9"/>
    <mergeCell ref="A3:B3"/>
    <mergeCell ref="C3:F3"/>
    <mergeCell ref="A6:D6"/>
    <mergeCell ref="K6:M6"/>
    <mergeCell ref="A21:B21"/>
    <mergeCell ref="A22:B22"/>
    <mergeCell ref="O2:P2"/>
    <mergeCell ref="N6:P6"/>
    <mergeCell ref="A15:B15"/>
    <mergeCell ref="A16:B16"/>
    <mergeCell ref="A17:B17"/>
    <mergeCell ref="A18:B18"/>
    <mergeCell ref="A20:B20"/>
    <mergeCell ref="A10:B10"/>
    <mergeCell ref="A11:B11"/>
    <mergeCell ref="A12:B12"/>
    <mergeCell ref="A13:B13"/>
    <mergeCell ref="A14:B14"/>
    <mergeCell ref="B9:C9"/>
    <mergeCell ref="E9:F9"/>
  </mergeCells>
  <phoneticPr fontId="2"/>
  <printOptions horizontalCentered="1" verticalCentered="1"/>
  <pageMargins left="0.23622047244094491" right="0.19685039370078741" top="0.39370078740157483" bottom="0.39370078740157483" header="0.51181102362204722" footer="0.51181102362204722"/>
  <pageSetup paperSize="9" scale="85" orientation="landscape" verticalDpi="4294967293" r:id="rId1"/>
  <headerFooter alignWithMargins="0">
    <oddHeader>&amp;R&amp;P/&amp;N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noname</vt:lpstr>
      <vt:lpstr>noname!Print_Area</vt:lpstr>
      <vt:lpstr>noname!Print_Titles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アカウント 鎌ホ職員</dc:creator>
  <cp:lastModifiedBy>OFFCE2</cp:lastModifiedBy>
  <cp:lastPrinted>2025-04-25T07:25:30Z</cp:lastPrinted>
  <dcterms:created xsi:type="dcterms:W3CDTF">2025-04-25T06:57:35Z</dcterms:created>
  <dcterms:modified xsi:type="dcterms:W3CDTF">2025-05-29T01:34:52Z</dcterms:modified>
</cp:coreProperties>
</file>