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Kamakura\事務共有\30.厨房関係\28.各ブロック発注書追加分\魚丹\"/>
    </mc:Choice>
  </mc:AlternateContent>
  <xr:revisionPtr revIDLastSave="0" documentId="13_ncr:1_{8B10D50A-A798-4BB3-982E-DB7015FCE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E2" i="1"/>
  <c r="E6" i="1" l="1"/>
  <c r="E42" i="1"/>
  <c r="A24" i="1" l="1"/>
  <c r="A15" i="1"/>
  <c r="E15" i="1"/>
  <c r="E24" i="1"/>
  <c r="A33" i="1"/>
  <c r="A42" i="1"/>
  <c r="E33" i="1"/>
  <c r="A6" i="1"/>
</calcChain>
</file>

<file path=xl/sharedStrings.xml><?xml version="1.0" encoding="utf-8"?>
<sst xmlns="http://schemas.openxmlformats.org/spreadsheetml/2006/main" count="27" uniqueCount="9">
  <si>
    <t>数量</t>
    <rPh sb="0" eb="2">
      <t>スウリョウ</t>
    </rPh>
    <phoneticPr fontId="4"/>
  </si>
  <si>
    <t>【 発 注 書 】</t>
  </si>
  <si>
    <t>発注日：</t>
    <rPh sb="0" eb="2">
      <t>ハッチュウ</t>
    </rPh>
    <rPh sb="2" eb="3">
      <t>ビ</t>
    </rPh>
    <phoneticPr fontId="1"/>
  </si>
  <si>
    <t>TEL：0467(22)0424
FAX：0467(22)1766</t>
    <phoneticPr fontId="1"/>
  </si>
  <si>
    <r>
      <rPr>
        <b/>
        <sz val="12"/>
        <rFont val="ＭＳ ゴシック"/>
        <family val="3"/>
        <charset val="128"/>
      </rPr>
      <t>品名</t>
    </r>
    <r>
      <rPr>
        <b/>
        <sz val="13"/>
        <rFont val="ＭＳ ゴシック"/>
        <family val="3"/>
        <charset val="128"/>
      </rPr>
      <t xml:space="preserve">
</t>
    </r>
    <r>
      <rPr>
        <b/>
        <sz val="10"/>
        <rFont val="ＭＳ ゴシック"/>
        <family val="3"/>
        <charset val="128"/>
      </rPr>
      <t>（使用日／献立）</t>
    </r>
    <rPh sb="0" eb="2">
      <t>シナメイ</t>
    </rPh>
    <phoneticPr fontId="4"/>
  </si>
  <si>
    <r>
      <t xml:space="preserve"> </t>
    </r>
    <r>
      <rPr>
        <b/>
        <sz val="20"/>
        <color theme="1"/>
        <rFont val="ＭＳ ゴシック"/>
        <family val="3"/>
        <charset val="128"/>
      </rPr>
      <t xml:space="preserve"> </t>
    </r>
    <r>
      <rPr>
        <b/>
        <sz val="22"/>
        <color theme="1"/>
        <rFont val="ＭＳ ゴシック"/>
        <family val="3"/>
        <charset val="128"/>
      </rPr>
      <t>魚丹</t>
    </r>
    <r>
      <rPr>
        <b/>
        <sz val="20"/>
        <color theme="1"/>
        <rFont val="ＭＳ ゴシック"/>
        <family val="3"/>
        <charset val="128"/>
      </rPr>
      <t xml:space="preserve">  </t>
    </r>
    <r>
      <rPr>
        <b/>
        <sz val="18"/>
        <color theme="1"/>
        <rFont val="ＭＳ ゴシック"/>
        <family val="3"/>
        <charset val="128"/>
      </rPr>
      <t xml:space="preserve">     </t>
    </r>
    <r>
      <rPr>
        <b/>
        <sz val="16"/>
        <color theme="1"/>
        <rFont val="ＭＳ ゴシック"/>
        <family val="3"/>
        <charset val="128"/>
      </rPr>
      <t>御中</t>
    </r>
    <phoneticPr fontId="1"/>
  </si>
  <si>
    <t>( TEL：0467-22-0701 )
( FAX：0467-22-0714 )</t>
    <phoneticPr fontId="4"/>
  </si>
  <si>
    <t>メモ</t>
    <phoneticPr fontId="1"/>
  </si>
  <si>
    <t>鎌 倉 児 童 ホ ー ム
（ ブロック名　）</t>
    <rPh sb="0" eb="1">
      <t>カマ</t>
    </rPh>
    <rPh sb="2" eb="3">
      <t>クラ</t>
    </rPh>
    <rPh sb="4" eb="5">
      <t>ジ</t>
    </rPh>
    <rPh sb="6" eb="7">
      <t>ワラベ</t>
    </rPh>
    <rPh sb="20" eb="21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</si>
</sst>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\ \(aaa\)"/>
  </numFmts>
  <fonts count="2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name val="ＭＳ ゴシック"/>
      <family val="3"/>
      <charset val="128"/>
    </font>
    <font>
      <b/>
      <sz val="10"/>
      <name val="ＭＳ ゴシック"/>
      <family val="3"/>
      <charset val="128"/>
    </font>
    <font>
      <sz val="6"/>
      <name val="ＭＳ 明朝"/>
      <family val="1"/>
      <charset val="128"/>
    </font>
    <font>
      <sz val="12"/>
      <color theme="1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b/>
      <sz val="20"/>
      <color theme="1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b/>
      <sz val="20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b/>
      <sz val="12"/>
      <name val="ＭＳ 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3"/>
      <color theme="1"/>
      <name val="ＭＳ ゴシック"/>
      <family val="3"/>
      <charset val="128"/>
    </font>
    <font>
      <b/>
      <sz val="22"/>
      <color theme="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8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2" fillId="3" borderId="6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2" fillId="2" borderId="8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76" fontId="12" fillId="4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vertical="center" shrinkToFit="1"/>
    </xf>
    <xf numFmtId="0" fontId="2" fillId="3" borderId="0" xfId="0" applyFont="1" applyFill="1" applyAlignment="1">
      <alignment horizontal="center" vertical="center" shrinkToFit="1"/>
    </xf>
    <xf numFmtId="0" fontId="6" fillId="3" borderId="12" xfId="0" applyFont="1" applyFill="1" applyBorder="1" applyAlignment="1">
      <alignment vertical="center" shrinkToFit="1"/>
    </xf>
    <xf numFmtId="0" fontId="2" fillId="3" borderId="12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shrinkToFit="1"/>
    </xf>
    <xf numFmtId="0" fontId="2" fillId="3" borderId="20" xfId="0" applyFont="1" applyFill="1" applyBorder="1" applyAlignment="1">
      <alignment horizontal="center" vertical="center" shrinkToFit="1"/>
    </xf>
    <xf numFmtId="0" fontId="18" fillId="3" borderId="21" xfId="0" applyFont="1" applyFill="1" applyBorder="1" applyAlignment="1">
      <alignment horizontal="center" vertical="center" shrinkToFit="1"/>
    </xf>
    <xf numFmtId="0" fontId="2" fillId="3" borderId="24" xfId="0" applyFont="1" applyFill="1" applyBorder="1" applyAlignment="1">
      <alignment horizontal="center" vertical="center" shrinkToFit="1"/>
    </xf>
    <xf numFmtId="0" fontId="18" fillId="3" borderId="25" xfId="0" applyFont="1" applyFill="1" applyBorder="1" applyAlignment="1">
      <alignment horizontal="center" vertical="center" shrinkToFit="1"/>
    </xf>
    <xf numFmtId="0" fontId="18" fillId="3" borderId="11" xfId="0" applyFont="1" applyFill="1" applyBorder="1" applyAlignment="1">
      <alignment horizontal="center" vertical="center" shrinkToFit="1"/>
    </xf>
    <xf numFmtId="0" fontId="18" fillId="3" borderId="26" xfId="0" applyFont="1" applyFill="1" applyBorder="1" applyAlignment="1">
      <alignment horizontal="center" vertical="center" shrinkToFit="1"/>
    </xf>
    <xf numFmtId="0" fontId="19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4" xfId="0" applyBorder="1">
      <alignment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shrinkToFit="1"/>
    </xf>
    <xf numFmtId="0" fontId="18" fillId="0" borderId="17" xfId="0" applyFont="1" applyBorder="1" applyAlignment="1">
      <alignment horizontal="center" vertical="center" shrinkToFi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2" fillId="3" borderId="22" xfId="0" applyFont="1" applyFill="1" applyBorder="1" applyAlignment="1">
      <alignment horizontal="center" vertical="center" shrinkToFit="1"/>
    </xf>
    <xf numFmtId="0" fontId="2" fillId="3" borderId="23" xfId="0" applyFont="1" applyFill="1" applyBorder="1" applyAlignment="1">
      <alignment horizontal="center" vertical="center" shrinkToFit="1"/>
    </xf>
    <xf numFmtId="0" fontId="2" fillId="3" borderId="9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6" fontId="8" fillId="5" borderId="5" xfId="0" applyNumberFormat="1" applyFont="1" applyFill="1" applyBorder="1" applyAlignment="1">
      <alignment horizontal="center" vertical="center"/>
    </xf>
    <xf numFmtId="22" fontId="6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left"/>
    </xf>
    <xf numFmtId="0" fontId="2" fillId="3" borderId="7" xfId="0" applyFont="1" applyFill="1" applyBorder="1" applyAlignment="1">
      <alignment horizontal="center" vertical="center" shrinkToFit="1"/>
    </xf>
    <xf numFmtId="14" fontId="2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4" fillId="0" borderId="0" xfId="0" applyFont="1" applyAlignment="1">
      <alignment horizontal="right" vertical="center" wrapText="1"/>
    </xf>
    <xf numFmtId="176" fontId="20" fillId="5" borderId="5" xfId="0" applyNumberFormat="1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 wrapText="1"/>
    </xf>
    <xf numFmtId="0" fontId="16" fillId="0" borderId="2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left" vertical="center"/>
    </xf>
    <xf numFmtId="176" fontId="8" fillId="0" borderId="14" xfId="0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tabSelected="1" view="pageBreakPreview" topLeftCell="A17" zoomScale="95" zoomScaleNormal="93" zoomScaleSheetLayoutView="95" workbookViewId="0">
      <selection activeCell="D6" sqref="D6:L45"/>
    </sheetView>
  </sheetViews>
  <sheetFormatPr defaultRowHeight="18.75" x14ac:dyDescent="0.4"/>
  <cols>
    <col min="1" max="1" width="12" customWidth="1"/>
    <col min="2" max="2" width="22.875" customWidth="1"/>
    <col min="3" max="3" width="8.375" customWidth="1"/>
    <col min="4" max="4" width="3.25" customWidth="1"/>
    <col min="5" max="5" width="35" customWidth="1"/>
    <col min="6" max="6" width="8.5" customWidth="1"/>
  </cols>
  <sheetData>
    <row r="1" spans="1:6" ht="27" customHeight="1" x14ac:dyDescent="0.4">
      <c r="A1" s="6" t="s">
        <v>1</v>
      </c>
      <c r="B1" s="7"/>
      <c r="C1" s="4"/>
      <c r="D1" s="4"/>
      <c r="E1" s="8"/>
      <c r="F1" s="4"/>
    </row>
    <row r="2" spans="1:6" ht="22.5" customHeight="1" x14ac:dyDescent="0.4">
      <c r="A2" s="54" t="s">
        <v>5</v>
      </c>
      <c r="B2" s="54"/>
      <c r="E2" s="49">
        <f ca="1">TODAY()</f>
        <v>45794</v>
      </c>
      <c r="F2" s="49"/>
    </row>
    <row r="3" spans="1:6" ht="35.450000000000003" customHeight="1" x14ac:dyDescent="0.4">
      <c r="A3" s="55" t="s">
        <v>6</v>
      </c>
      <c r="B3" s="55"/>
      <c r="E3" s="57" t="s">
        <v>8</v>
      </c>
      <c r="F3" s="57"/>
    </row>
    <row r="4" spans="1:6" ht="27.6" customHeight="1" x14ac:dyDescent="0.4">
      <c r="A4" s="10" t="s">
        <v>2</v>
      </c>
      <c r="B4" s="11">
        <f ca="1">IF(TODAY()&gt;DATE(YEAR(TODAY()),MONTH(TODAY()),1)+VALUE(MID("2106543",WEEKDAY(DATE(YEAR(TODAY()),MONTH(TODAY()),1),1),1))+14,
DATE(YEAR(TODAY()),MONTH(TODAY())+1,1)+VALUE(MID("2106543",WEEKDAY(DATE(YEAR(TODAY()),MONTH(TODAY())+1,1),1),1))+14,
DATE(YEAR(TODAY()),MONTH(TODAY()),1)+VALUE(MID("2106543",WEEKDAY(DATE(YEAR(TODAY()),MONTH(TODAY()),1),1),1))+14)</f>
        <v>45797</v>
      </c>
      <c r="E4" s="31" t="s">
        <v>3</v>
      </c>
      <c r="F4" s="32"/>
    </row>
    <row r="5" spans="1:6" ht="12.6" customHeight="1" x14ac:dyDescent="0.35">
      <c r="A5" s="47"/>
      <c r="B5" s="47"/>
      <c r="C5" s="27"/>
      <c r="E5" s="46"/>
      <c r="F5" s="46"/>
    </row>
    <row r="6" spans="1:6" ht="17.45" customHeight="1" x14ac:dyDescent="0.4">
      <c r="A6" s="56">
        <f ca="1">B4+(18-WEEKDAY(B4))</f>
        <v>45812</v>
      </c>
      <c r="B6" s="56"/>
      <c r="C6" s="56"/>
      <c r="E6" s="45">
        <f ca="1">B4+(20-WEEKDAY(B4))</f>
        <v>45814</v>
      </c>
      <c r="F6" s="45"/>
    </row>
    <row r="7" spans="1:6" ht="27.6" customHeight="1" x14ac:dyDescent="0.4">
      <c r="A7" s="50" t="s">
        <v>4</v>
      </c>
      <c r="B7" s="51"/>
      <c r="C7" s="25" t="s">
        <v>0</v>
      </c>
      <c r="D7" s="26"/>
      <c r="E7" s="2" t="s">
        <v>4</v>
      </c>
      <c r="F7" s="3" t="s">
        <v>0</v>
      </c>
    </row>
    <row r="8" spans="1:6" ht="20.100000000000001" customHeight="1" x14ac:dyDescent="0.4">
      <c r="A8" s="41"/>
      <c r="B8" s="42"/>
      <c r="C8" s="33"/>
      <c r="E8" s="18"/>
      <c r="F8" s="33"/>
    </row>
    <row r="9" spans="1:6" ht="20.100000000000001" customHeight="1" x14ac:dyDescent="0.4">
      <c r="A9" s="43"/>
      <c r="B9" s="44"/>
      <c r="C9" s="34"/>
      <c r="E9" s="19"/>
      <c r="F9" s="34"/>
    </row>
    <row r="10" spans="1:6" ht="20.100000000000001" customHeight="1" x14ac:dyDescent="0.4">
      <c r="A10" s="37"/>
      <c r="B10" s="38"/>
      <c r="C10" s="35"/>
      <c r="E10" s="20"/>
      <c r="F10" s="35"/>
    </row>
    <row r="11" spans="1:6" ht="20.100000000000001" customHeight="1" x14ac:dyDescent="0.4">
      <c r="A11" s="39"/>
      <c r="B11" s="40"/>
      <c r="C11" s="48"/>
      <c r="E11" s="21"/>
      <c r="F11" s="36"/>
    </row>
    <row r="12" spans="1:6" ht="20.100000000000001" customHeight="1" x14ac:dyDescent="0.4">
      <c r="A12" s="41"/>
      <c r="B12" s="42"/>
      <c r="C12" s="33"/>
      <c r="E12" s="20"/>
      <c r="F12" s="35"/>
    </row>
    <row r="13" spans="1:6" ht="20.100000000000001" customHeight="1" x14ac:dyDescent="0.4">
      <c r="A13" s="43"/>
      <c r="B13" s="44"/>
      <c r="C13" s="34"/>
      <c r="E13" s="21"/>
      <c r="F13" s="36"/>
    </row>
    <row r="14" spans="1:6" ht="5.45" customHeight="1" x14ac:dyDescent="0.4">
      <c r="A14" s="1"/>
      <c r="B14" s="1"/>
      <c r="C14" s="13"/>
      <c r="E14" s="12"/>
      <c r="F14" s="13"/>
    </row>
    <row r="15" spans="1:6" ht="17.45" customHeight="1" x14ac:dyDescent="0.4">
      <c r="A15" s="45">
        <f ca="1">B4+(25-WEEKDAY(B4))</f>
        <v>45819</v>
      </c>
      <c r="B15" s="45"/>
      <c r="C15" s="45"/>
      <c r="E15" s="45">
        <f ca="1">B4+(27-WEEKDAY(B4))</f>
        <v>45821</v>
      </c>
      <c r="F15" s="45"/>
    </row>
    <row r="16" spans="1:6" ht="27.6" customHeight="1" x14ac:dyDescent="0.4">
      <c r="A16" s="50" t="s">
        <v>4</v>
      </c>
      <c r="B16" s="51"/>
      <c r="C16" s="3" t="s">
        <v>0</v>
      </c>
      <c r="E16" s="2" t="s">
        <v>4</v>
      </c>
      <c r="F16" s="9" t="s">
        <v>0</v>
      </c>
    </row>
    <row r="17" spans="1:6" ht="20.100000000000001" customHeight="1" x14ac:dyDescent="0.4">
      <c r="A17" s="37"/>
      <c r="B17" s="52"/>
      <c r="C17" s="33"/>
      <c r="E17" s="17"/>
      <c r="F17" s="35"/>
    </row>
    <row r="18" spans="1:6" ht="20.100000000000001" customHeight="1" x14ac:dyDescent="0.4">
      <c r="A18" s="39"/>
      <c r="B18" s="53"/>
      <c r="C18" s="34"/>
      <c r="E18" s="23"/>
      <c r="F18" s="36"/>
    </row>
    <row r="19" spans="1:6" ht="20.100000000000001" customHeight="1" x14ac:dyDescent="0.4">
      <c r="A19" s="37"/>
      <c r="B19" s="52"/>
      <c r="C19" s="33"/>
      <c r="E19" s="17"/>
      <c r="F19" s="35"/>
    </row>
    <row r="20" spans="1:6" ht="20.100000000000001" customHeight="1" x14ac:dyDescent="0.4">
      <c r="A20" s="39"/>
      <c r="B20" s="53"/>
      <c r="C20" s="34"/>
      <c r="E20" s="23"/>
      <c r="F20" s="36"/>
    </row>
    <row r="21" spans="1:6" ht="20.100000000000001" customHeight="1" x14ac:dyDescent="0.4">
      <c r="A21" s="41"/>
      <c r="B21" s="58"/>
      <c r="C21" s="33"/>
      <c r="E21" s="20"/>
      <c r="F21" s="35"/>
    </row>
    <row r="22" spans="1:6" ht="20.100000000000001" customHeight="1" x14ac:dyDescent="0.4">
      <c r="A22" s="43"/>
      <c r="B22" s="44"/>
      <c r="C22" s="34"/>
      <c r="E22" s="21"/>
      <c r="F22" s="36"/>
    </row>
    <row r="23" spans="1:6" ht="5.0999999999999996" customHeight="1" x14ac:dyDescent="0.4">
      <c r="A23" s="1"/>
      <c r="B23" s="1"/>
      <c r="C23" s="13"/>
      <c r="E23" s="12"/>
      <c r="F23" s="13"/>
    </row>
    <row r="24" spans="1:6" ht="17.100000000000001" customHeight="1" x14ac:dyDescent="0.4">
      <c r="A24" s="45">
        <f ca="1">B4+(32-WEEKDAY(B4))</f>
        <v>45826</v>
      </c>
      <c r="B24" s="45"/>
      <c r="C24" s="45"/>
      <c r="E24" s="45">
        <f ca="1">B4+(34-WEEKDAY(B4))</f>
        <v>45828</v>
      </c>
      <c r="F24" s="45"/>
    </row>
    <row r="25" spans="1:6" ht="27.6" customHeight="1" x14ac:dyDescent="0.4">
      <c r="A25" s="50" t="s">
        <v>4</v>
      </c>
      <c r="B25" s="51"/>
      <c r="C25" s="9" t="s">
        <v>0</v>
      </c>
      <c r="E25" s="2" t="s">
        <v>4</v>
      </c>
      <c r="F25" s="9" t="s">
        <v>0</v>
      </c>
    </row>
    <row r="26" spans="1:6" ht="20.100000000000001" customHeight="1" x14ac:dyDescent="0.4">
      <c r="A26" s="41"/>
      <c r="B26" s="58"/>
      <c r="C26" s="33"/>
      <c r="E26" s="18"/>
      <c r="F26" s="33"/>
    </row>
    <row r="27" spans="1:6" ht="20.100000000000001" customHeight="1" x14ac:dyDescent="0.4">
      <c r="A27" s="43"/>
      <c r="B27" s="44"/>
      <c r="C27" s="34"/>
      <c r="E27" s="22"/>
      <c r="F27" s="34"/>
    </row>
    <row r="28" spans="1:6" ht="20.100000000000001" customHeight="1" x14ac:dyDescent="0.4">
      <c r="A28" s="37"/>
      <c r="B28" s="52"/>
      <c r="C28" s="33"/>
      <c r="E28" s="5"/>
      <c r="F28" s="33"/>
    </row>
    <row r="29" spans="1:6" ht="20.100000000000001" customHeight="1" x14ac:dyDescent="0.4">
      <c r="A29" s="39"/>
      <c r="B29" s="53"/>
      <c r="C29" s="34"/>
      <c r="E29" s="19"/>
      <c r="F29" s="34"/>
    </row>
    <row r="30" spans="1:6" ht="20.100000000000001" customHeight="1" x14ac:dyDescent="0.4">
      <c r="A30" s="41"/>
      <c r="B30" s="58"/>
      <c r="C30" s="33"/>
      <c r="E30" s="18"/>
      <c r="F30" s="33"/>
    </row>
    <row r="31" spans="1:6" ht="20.100000000000001" customHeight="1" x14ac:dyDescent="0.4">
      <c r="A31" s="39"/>
      <c r="B31" s="53"/>
      <c r="C31" s="34"/>
      <c r="E31" s="22"/>
      <c r="F31" s="34"/>
    </row>
    <row r="32" spans="1:6" ht="5.0999999999999996" customHeight="1" x14ac:dyDescent="0.4">
      <c r="A32" s="1"/>
      <c r="B32" s="1"/>
      <c r="C32" s="13"/>
      <c r="E32" s="12"/>
      <c r="F32" s="13"/>
    </row>
    <row r="33" spans="1:6" ht="17.100000000000001" customHeight="1" x14ac:dyDescent="0.4">
      <c r="A33" s="45">
        <f ca="1">B4+(39-WEEKDAY(B4))</f>
        <v>45833</v>
      </c>
      <c r="B33" s="45"/>
      <c r="C33" s="45"/>
      <c r="E33" s="45">
        <f ca="1">B4+(41-WEEKDAY(B4))</f>
        <v>45835</v>
      </c>
      <c r="F33" s="45"/>
    </row>
    <row r="34" spans="1:6" ht="27.6" customHeight="1" x14ac:dyDescent="0.4">
      <c r="A34" s="50" t="s">
        <v>4</v>
      </c>
      <c r="B34" s="51"/>
      <c r="C34" s="9" t="s">
        <v>0</v>
      </c>
      <c r="E34" s="2" t="s">
        <v>4</v>
      </c>
      <c r="F34" s="9" t="s">
        <v>0</v>
      </c>
    </row>
    <row r="35" spans="1:6" ht="20.100000000000001" customHeight="1" x14ac:dyDescent="0.4">
      <c r="A35" s="37"/>
      <c r="B35" s="52"/>
      <c r="C35" s="33"/>
      <c r="D35" s="1"/>
      <c r="E35" s="18"/>
      <c r="F35" s="33"/>
    </row>
    <row r="36" spans="1:6" ht="20.100000000000001" customHeight="1" x14ac:dyDescent="0.4">
      <c r="A36" s="39"/>
      <c r="B36" s="53"/>
      <c r="C36" s="34"/>
      <c r="D36" s="1"/>
      <c r="E36" s="22"/>
      <c r="F36" s="34"/>
    </row>
    <row r="37" spans="1:6" ht="20.100000000000001" customHeight="1" x14ac:dyDescent="0.4">
      <c r="A37" s="41"/>
      <c r="B37" s="58"/>
      <c r="C37" s="33"/>
      <c r="D37" s="1"/>
      <c r="E37" s="20"/>
      <c r="F37" s="35"/>
    </row>
    <row r="38" spans="1:6" ht="20.100000000000001" customHeight="1" x14ac:dyDescent="0.4">
      <c r="A38" s="59"/>
      <c r="B38" s="60"/>
      <c r="C38" s="34"/>
      <c r="D38" s="1"/>
      <c r="E38" s="21"/>
      <c r="F38" s="48"/>
    </row>
    <row r="39" spans="1:6" ht="20.100000000000001" customHeight="1" x14ac:dyDescent="0.4">
      <c r="A39" s="41"/>
      <c r="B39" s="58"/>
      <c r="C39" s="33"/>
      <c r="D39" s="1"/>
      <c r="E39" s="5"/>
      <c r="F39" s="33"/>
    </row>
    <row r="40" spans="1:6" ht="20.100000000000001" customHeight="1" x14ac:dyDescent="0.4">
      <c r="A40" s="39"/>
      <c r="B40" s="53"/>
      <c r="C40" s="34"/>
      <c r="D40" s="1"/>
      <c r="E40" s="21"/>
      <c r="F40" s="34"/>
    </row>
    <row r="41" spans="1:6" ht="5.0999999999999996" customHeight="1" x14ac:dyDescent="0.4">
      <c r="A41" s="1"/>
      <c r="B41" s="1"/>
      <c r="C41" s="13"/>
      <c r="E41" s="14"/>
      <c r="F41" s="15"/>
    </row>
    <row r="42" spans="1:6" ht="17.100000000000001" customHeight="1" x14ac:dyDescent="0.4">
      <c r="A42" s="45">
        <f ca="1">B4+(46-WEEKDAY(B4))</f>
        <v>45840</v>
      </c>
      <c r="B42" s="45"/>
      <c r="C42" s="45"/>
      <c r="E42" s="45">
        <f ca="1">B4+(48-WEEKDAY(B4))</f>
        <v>45842</v>
      </c>
      <c r="F42" s="45"/>
    </row>
    <row r="43" spans="1:6" ht="27.6" customHeight="1" x14ac:dyDescent="0.4">
      <c r="A43" s="50" t="s">
        <v>4</v>
      </c>
      <c r="B43" s="51"/>
      <c r="C43" s="9" t="s">
        <v>0</v>
      </c>
      <c r="E43" s="2" t="s">
        <v>4</v>
      </c>
      <c r="F43" s="9" t="s">
        <v>0</v>
      </c>
    </row>
    <row r="44" spans="1:6" ht="20.100000000000001" customHeight="1" x14ac:dyDescent="0.4">
      <c r="A44" s="41"/>
      <c r="B44" s="42"/>
      <c r="C44" s="35"/>
      <c r="E44" s="18"/>
      <c r="F44" s="33"/>
    </row>
    <row r="45" spans="1:6" ht="20.100000000000001" customHeight="1" x14ac:dyDescent="0.4">
      <c r="A45" s="43"/>
      <c r="B45" s="61"/>
      <c r="C45" s="36"/>
      <c r="E45" s="22"/>
      <c r="F45" s="34"/>
    </row>
    <row r="46" spans="1:6" ht="20.100000000000001" customHeight="1" x14ac:dyDescent="0.4">
      <c r="A46" s="37"/>
      <c r="B46" s="52"/>
      <c r="C46" s="33"/>
      <c r="E46" s="20"/>
      <c r="F46" s="35"/>
    </row>
    <row r="47" spans="1:6" ht="20.100000000000001" customHeight="1" x14ac:dyDescent="0.4">
      <c r="A47" s="39"/>
      <c r="B47" s="40"/>
      <c r="C47" s="34"/>
      <c r="E47" s="21"/>
      <c r="F47" s="48"/>
    </row>
    <row r="48" spans="1:6" ht="20.100000000000001" customHeight="1" x14ac:dyDescent="0.4">
      <c r="A48" s="37"/>
      <c r="B48" s="52"/>
      <c r="C48" s="33"/>
      <c r="E48" s="5"/>
      <c r="F48" s="33"/>
    </row>
    <row r="49" spans="1:6" ht="20.100000000000001" customHeight="1" x14ac:dyDescent="0.4">
      <c r="A49" s="39"/>
      <c r="B49" s="40"/>
      <c r="C49" s="34"/>
      <c r="E49" s="21"/>
      <c r="F49" s="34"/>
    </row>
    <row r="51" spans="1:6" ht="19.5" thickBot="1" x14ac:dyDescent="0.45">
      <c r="E51" s="24"/>
    </row>
    <row r="52" spans="1:6" x14ac:dyDescent="0.4">
      <c r="E52" s="62" t="s">
        <v>7</v>
      </c>
      <c r="F52" s="63"/>
    </row>
    <row r="53" spans="1:6" x14ac:dyDescent="0.4">
      <c r="E53" s="28"/>
      <c r="F53" s="16"/>
    </row>
    <row r="54" spans="1:6" x14ac:dyDescent="0.4">
      <c r="E54" s="29"/>
      <c r="F54" s="64"/>
    </row>
    <row r="55" spans="1:6" x14ac:dyDescent="0.4">
      <c r="E55" s="29"/>
      <c r="F55" s="64"/>
    </row>
    <row r="56" spans="1:6" x14ac:dyDescent="0.4">
      <c r="E56" s="29"/>
      <c r="F56" s="64"/>
    </row>
    <row r="57" spans="1:6" x14ac:dyDescent="0.4">
      <c r="E57" s="29"/>
      <c r="F57" s="64"/>
    </row>
    <row r="58" spans="1:6" x14ac:dyDescent="0.4">
      <c r="E58" s="29"/>
      <c r="F58" s="64"/>
    </row>
    <row r="59" spans="1:6" ht="19.5" thickBot="1" x14ac:dyDescent="0.45">
      <c r="E59" s="30"/>
      <c r="F59" s="65"/>
    </row>
  </sheetData>
  <mergeCells count="86">
    <mergeCell ref="E52:F52"/>
    <mergeCell ref="F54:F55"/>
    <mergeCell ref="F56:F57"/>
    <mergeCell ref="F58:F59"/>
    <mergeCell ref="F46:F47"/>
    <mergeCell ref="F48:F49"/>
    <mergeCell ref="A38:B38"/>
    <mergeCell ref="A29:B29"/>
    <mergeCell ref="A30:B30"/>
    <mergeCell ref="A31:B31"/>
    <mergeCell ref="F44:F45"/>
    <mergeCell ref="E33:F33"/>
    <mergeCell ref="F35:F36"/>
    <mergeCell ref="A37:B37"/>
    <mergeCell ref="A45:B45"/>
    <mergeCell ref="C44:C45"/>
    <mergeCell ref="A39:B39"/>
    <mergeCell ref="A40:B40"/>
    <mergeCell ref="A43:B43"/>
    <mergeCell ref="F37:F38"/>
    <mergeCell ref="F39:F40"/>
    <mergeCell ref="A36:B36"/>
    <mergeCell ref="E6:F6"/>
    <mergeCell ref="C46:C47"/>
    <mergeCell ref="C48:C49"/>
    <mergeCell ref="A46:B46"/>
    <mergeCell ref="A47:B47"/>
    <mergeCell ref="A49:B49"/>
    <mergeCell ref="A48:B48"/>
    <mergeCell ref="E24:F24"/>
    <mergeCell ref="F26:F27"/>
    <mergeCell ref="F28:F29"/>
    <mergeCell ref="F30:F31"/>
    <mergeCell ref="A44:B44"/>
    <mergeCell ref="A42:C42"/>
    <mergeCell ref="C39:C40"/>
    <mergeCell ref="E42:F42"/>
    <mergeCell ref="C37:C38"/>
    <mergeCell ref="A19:B19"/>
    <mergeCell ref="A20:B20"/>
    <mergeCell ref="A21:B21"/>
    <mergeCell ref="A22:B22"/>
    <mergeCell ref="A35:B35"/>
    <mergeCell ref="A33:C33"/>
    <mergeCell ref="A34:B34"/>
    <mergeCell ref="C35:C36"/>
    <mergeCell ref="C30:C31"/>
    <mergeCell ref="A27:B27"/>
    <mergeCell ref="A28:B28"/>
    <mergeCell ref="A25:B25"/>
    <mergeCell ref="A26:B26"/>
    <mergeCell ref="A24:C24"/>
    <mergeCell ref="C19:C20"/>
    <mergeCell ref="C21:C22"/>
    <mergeCell ref="C26:C27"/>
    <mergeCell ref="C28:C29"/>
    <mergeCell ref="E2:F2"/>
    <mergeCell ref="A16:B16"/>
    <mergeCell ref="A17:B17"/>
    <mergeCell ref="A18:B18"/>
    <mergeCell ref="C17:C18"/>
    <mergeCell ref="A2:B2"/>
    <mergeCell ref="A3:B3"/>
    <mergeCell ref="A7:B7"/>
    <mergeCell ref="A6:C6"/>
    <mergeCell ref="C12:C13"/>
    <mergeCell ref="A8:B8"/>
    <mergeCell ref="A9:B9"/>
    <mergeCell ref="F17:F18"/>
    <mergeCell ref="E3:F3"/>
    <mergeCell ref="E4:F4"/>
    <mergeCell ref="F8:F9"/>
    <mergeCell ref="F19:F20"/>
    <mergeCell ref="F21:F22"/>
    <mergeCell ref="A10:B10"/>
    <mergeCell ref="A11:B11"/>
    <mergeCell ref="C8:C9"/>
    <mergeCell ref="A12:B12"/>
    <mergeCell ref="F10:F11"/>
    <mergeCell ref="F12:F13"/>
    <mergeCell ref="A13:B13"/>
    <mergeCell ref="A15:C15"/>
    <mergeCell ref="E5:F5"/>
    <mergeCell ref="A5:B5"/>
    <mergeCell ref="C10:C11"/>
    <mergeCell ref="E15:F15"/>
  </mergeCells>
  <phoneticPr fontId="1"/>
  <printOptions horizontalCentered="1" verticalCentered="1"/>
  <pageMargins left="0.78740157480314965" right="0.78740157480314965" top="0.47244094488188981" bottom="0.39370078740157483" header="0.31496062992125984" footer="0.31496062992125984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鎌ホ職員アカウント</dc:creator>
  <cp:lastModifiedBy>OFFICE4</cp:lastModifiedBy>
  <cp:lastPrinted>2025-01-31T01:13:50Z</cp:lastPrinted>
  <dcterms:created xsi:type="dcterms:W3CDTF">2024-06-15T06:41:02Z</dcterms:created>
  <dcterms:modified xsi:type="dcterms:W3CDTF">2025-05-17T07:28:48Z</dcterms:modified>
</cp:coreProperties>
</file>